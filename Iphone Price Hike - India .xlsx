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8EC19E74-168D-424F-92A6-E61FA8E60FD3}" xr6:coauthVersionLast="47" xr6:coauthVersionMax="47" xr10:uidLastSave="{00000000-0000-0000-0000-000000000000}"/>
  <bookViews>
    <workbookView xWindow="-108" yWindow="-108" windowWidth="23256" windowHeight="12456" xr2:uid="{00000000-000D-0000-FFFF-FFFF00000000}"/>
  </bookViews>
  <sheets>
    <sheet name="Price Hike Data" sheetId="1" r:id="rId1"/>
    <sheet name="iPhone 18 Launch Pri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4" i="1"/>
  <c r="E4" i="1"/>
  <c r="F4" i="1" s="1"/>
  <c r="E5" i="1"/>
  <c r="F5" i="1" s="1"/>
  <c r="E6" i="1"/>
  <c r="F6" i="1" s="1"/>
  <c r="E7" i="1"/>
  <c r="F7" i="1" s="1"/>
  <c r="E8" i="1"/>
  <c r="F8" i="1" s="1"/>
  <c r="E9" i="1"/>
  <c r="F9" i="1" s="1"/>
  <c r="E10" i="1"/>
  <c r="F10" i="1" s="1"/>
  <c r="B12" i="1" l="1"/>
</calcChain>
</file>

<file path=xl/sharedStrings.xml><?xml version="1.0" encoding="utf-8"?>
<sst xmlns="http://schemas.openxmlformats.org/spreadsheetml/2006/main" count="43" uniqueCount="25">
  <si>
    <t>Model</t>
  </si>
  <si>
    <t>Storage Variant</t>
  </si>
  <si>
    <t>Price Before (Sep 9, 2026)</t>
  </si>
  <si>
    <t>Price After (Sep 9, 2026)</t>
  </si>
  <si>
    <t>iPhone 16</t>
  </si>
  <si>
    <t>128GB (base)</t>
  </si>
  <si>
    <t>iPhone 17</t>
  </si>
  <si>
    <t>256GB</t>
  </si>
  <si>
    <t>512GB</t>
  </si>
  <si>
    <t>iPhone 17e</t>
  </si>
  <si>
    <t>iPhone Air</t>
  </si>
  <si>
    <t>iPhone 18 Pro / Pro Max / Duo - Launch Prices (Sept 9, 2026)</t>
  </si>
  <si>
    <t>Launch Price</t>
  </si>
  <si>
    <t>iPhone 18 Pro</t>
  </si>
  <si>
    <t>iPhone 18 Pro Max</t>
  </si>
  <si>
    <t>1TB</t>
  </si>
  <si>
    <t>2TB</t>
  </si>
  <si>
    <t>iPhone Duo (foldable)</t>
  </si>
  <si>
    <t>Note: iPhone 17 Pro and iPhone 17 Pro Max were officially discontinued at this event.</t>
  </si>
  <si>
    <t>₹ Increase</t>
  </si>
  <si>
    <t>% Increase</t>
  </si>
  <si>
    <t>Highest model</t>
  </si>
  <si>
    <t>Avg % Increase</t>
  </si>
  <si>
    <t>Highest % Increase</t>
  </si>
  <si>
    <t>Iphone Price Hike - India (Sept 9,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</si>
</sst>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s. &quot;#,##0"/>
  </numFmts>
  <fonts count="7" x14ac:knownFonts="1">
    <font>
      <sz val="11"/>
      <color theme="1"/>
      <name val="Calibri"/>
      <family val="2"/>
      <scheme val="minor"/>
    </font>
    <font>
      <b/>
      <sz val="14"/>
      <color rgb="FFFFFFFF"/>
      <name val="Arial"/>
    </font>
    <font>
      <b/>
      <sz val="11"/>
      <color rgb="FFFFFFFF"/>
      <name val="Arial"/>
    </font>
    <font>
      <sz val="10.5"/>
      <name val="Arial"/>
    </font>
    <font>
      <i/>
      <sz val="9.5"/>
      <color rgb="FFC00000"/>
      <name val="Arial"/>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1F3864"/>
      </patternFill>
    </fill>
    <fill>
      <patternFill patternType="solid">
        <fgColor rgb="FF2E5395"/>
      </patternFill>
    </fill>
    <fill>
      <patternFill patternType="solid">
        <fgColor rgb="FFEAF0FA"/>
      </patternFill>
    </fill>
    <fill>
      <patternFill patternType="solid">
        <fgColor theme="4" tint="0.59999389629810485"/>
        <bgColor indexed="65"/>
      </patternFill>
    </fill>
    <fill>
      <patternFill patternType="solid">
        <fgColor rgb="FF2E5395"/>
        <bgColor indexed="64"/>
      </patternFill>
    </fill>
  </fills>
  <borders count="10">
    <border>
      <left/>
      <right/>
      <top/>
      <bottom/>
      <diagonal/>
    </border>
    <border>
      <left style="thin">
        <color rgb="FFB7C6E3"/>
      </left>
      <right style="thin">
        <color rgb="FFB7C6E3"/>
      </right>
      <top style="thin">
        <color rgb="FFB7C6E3"/>
      </top>
      <bottom style="thin">
        <color rgb="FFB7C6E3"/>
      </bottom>
      <diagonal/>
    </border>
    <border>
      <left/>
      <right style="thin">
        <color rgb="FFB7C6E3"/>
      </right>
      <top style="thin">
        <color rgb="FFB7C6E3"/>
      </top>
      <bottom style="thin">
        <color rgb="FFB7C6E3"/>
      </bottom>
      <diagonal/>
    </border>
    <border>
      <left style="thin">
        <color rgb="FFB7C6E3"/>
      </left>
      <right/>
      <top style="thin">
        <color rgb="FFB7C6E3"/>
      </top>
      <bottom style="thin">
        <color rgb="FFB7C6E3"/>
      </bottom>
      <diagonal/>
    </border>
    <border>
      <left/>
      <right style="thin">
        <color rgb="FFB7C6E3"/>
      </right>
      <top/>
      <bottom style="thin">
        <color rgb="FFB7C6E3"/>
      </bottom>
      <diagonal/>
    </border>
    <border>
      <left style="thin">
        <color rgb="FFB7C6E3"/>
      </left>
      <right style="thin">
        <color rgb="FFB7C6E3"/>
      </right>
      <top/>
      <bottom style="thin">
        <color rgb="FFB7C6E3"/>
      </bottom>
      <diagonal/>
    </border>
    <border>
      <left style="thin">
        <color rgb="FFB7C6E3"/>
      </left>
      <right/>
      <top/>
      <bottom style="thin">
        <color rgb="FFB7C6E3"/>
      </bottom>
      <diagonal/>
    </border>
    <border>
      <left/>
      <right style="thin">
        <color rgb="FFB7C6E3"/>
      </right>
      <top style="thin">
        <color rgb="FFB7C6E3"/>
      </top>
      <bottom/>
      <diagonal/>
    </border>
    <border>
      <left style="thin">
        <color rgb="FFB7C6E3"/>
      </left>
      <right style="thin">
        <color rgb="FFB7C6E3"/>
      </right>
      <top style="thin">
        <color rgb="FFB7C6E3"/>
      </top>
      <bottom/>
      <diagonal/>
    </border>
    <border>
      <left style="thin">
        <color rgb="FFB7C6E3"/>
      </left>
      <right/>
      <top style="thin">
        <color rgb="FFB7C6E3"/>
      </top>
      <bottom/>
      <diagonal/>
    </border>
  </borders>
  <cellStyleXfs count="3">
    <xf numFmtId="0" fontId="0" fillId="0" borderId="0"/>
    <xf numFmtId="9" fontId="5" fillId="0" borderId="0" applyFont="0" applyFill="0" applyBorder="0" applyAlignment="0" applyProtection="0"/>
    <xf numFmtId="0" fontId="5" fillId="5" borderId="0" applyNumberFormat="0" applyBorder="0" applyAlignment="0" applyProtection="0"/>
  </cellStyleXfs>
  <cellXfs count="26">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164" fontId="3" fillId="0" borderId="3" xfId="0" applyNumberFormat="1" applyFont="1" applyBorder="1" applyAlignment="1">
      <alignment horizontal="center" vertical="center" wrapText="1"/>
    </xf>
    <xf numFmtId="164" fontId="3" fillId="4" borderId="3"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164" fontId="3" fillId="0" borderId="8" xfId="0" applyNumberFormat="1" applyFont="1" applyBorder="1" applyAlignment="1">
      <alignment horizontal="center" vertical="center" wrapText="1"/>
    </xf>
    <xf numFmtId="164" fontId="3" fillId="0" borderId="9" xfId="0" applyNumberFormat="1" applyFont="1" applyBorder="1" applyAlignment="1">
      <alignment horizontal="center" vertical="center" wrapText="1"/>
    </xf>
    <xf numFmtId="0" fontId="2" fillId="6" borderId="5" xfId="0" applyFont="1" applyFill="1" applyBorder="1" applyAlignment="1">
      <alignment horizontal="center" vertical="center" wrapText="1"/>
    </xf>
    <xf numFmtId="164" fontId="0" fillId="0" borderId="0" xfId="0" applyNumberFormat="1"/>
    <xf numFmtId="9" fontId="0" fillId="0" borderId="0" xfId="1" applyFont="1"/>
    <xf numFmtId="0" fontId="5" fillId="5" borderId="0" xfId="2"/>
    <xf numFmtId="9" fontId="5" fillId="5" borderId="0" xfId="2" applyNumberFormat="1"/>
    <xf numFmtId="0" fontId="6" fillId="5" borderId="0" xfId="2" applyFont="1"/>
    <xf numFmtId="0" fontId="1" fillId="2" borderId="0" xfId="0" applyFont="1" applyFill="1" applyAlignment="1">
      <alignment horizontal="center" vertical="center" wrapText="1"/>
    </xf>
    <xf numFmtId="0" fontId="0" fillId="0" borderId="0" xfId="0"/>
    <xf numFmtId="0" fontId="4" fillId="0" borderId="0" xfId="0" applyFont="1"/>
  </cellXfs>
  <cellStyles count="3">
    <cellStyle name="40% - Accent1" xfId="2" builtinId="31"/>
    <cellStyle name="Normal" xfId="0" builtinId="0"/>
    <cellStyle name="Percent" xfId="1" builtinId="5"/>
  </cellStyles>
  <dxfs count="9">
    <dxf>
      <numFmt numFmtId="164" formatCode="&quot;Rs. &quot;#,##0"/>
    </dxf>
    <dxf>
      <font>
        <b val="0"/>
        <i val="0"/>
        <strike val="0"/>
        <condense val="0"/>
        <extend val="0"/>
        <outline val="0"/>
        <shadow val="0"/>
        <u val="none"/>
        <vertAlign val="baseline"/>
        <sz val="10.5"/>
        <color auto="1"/>
        <name val="Arial"/>
        <scheme val="none"/>
      </font>
      <numFmt numFmtId="164" formatCode="&quot;Rs. &quot;#,##0"/>
      <alignment horizontal="center" vertical="center" textRotation="0" wrapText="1" indent="0" justifyLastLine="0" shrinkToFit="0" readingOrder="0"/>
      <border diagonalUp="0" diagonalDown="0">
        <left style="thin">
          <color rgb="FFB7C6E3"/>
        </left>
        <right/>
        <top style="thin">
          <color rgb="FFB7C6E3"/>
        </top>
        <bottom style="thin">
          <color rgb="FFB7C6E3"/>
        </bottom>
        <vertical/>
        <horizontal/>
      </border>
    </dxf>
    <dxf>
      <font>
        <b val="0"/>
        <i val="0"/>
        <strike val="0"/>
        <condense val="0"/>
        <extend val="0"/>
        <outline val="0"/>
        <shadow val="0"/>
        <u val="none"/>
        <vertAlign val="baseline"/>
        <sz val="10.5"/>
        <color auto="1"/>
        <name val="Arial"/>
        <scheme val="none"/>
      </font>
      <numFmt numFmtId="164" formatCode="&quot;Rs. &quot;#,##0"/>
      <alignment horizontal="center" vertical="center" textRotation="0" wrapText="1" indent="0" justifyLastLine="0" shrinkToFit="0" readingOrder="0"/>
      <border diagonalUp="0" diagonalDown="0">
        <left style="thin">
          <color rgb="FFB7C6E3"/>
        </left>
        <right style="thin">
          <color rgb="FFB7C6E3"/>
        </right>
        <top style="thin">
          <color rgb="FFB7C6E3"/>
        </top>
        <bottom style="thin">
          <color rgb="FFB7C6E3"/>
        </bottom>
        <vertical/>
        <horizontal/>
      </border>
    </dxf>
    <dxf>
      <font>
        <b val="0"/>
        <i val="0"/>
        <strike val="0"/>
        <condense val="0"/>
        <extend val="0"/>
        <outline val="0"/>
        <shadow val="0"/>
        <u val="none"/>
        <vertAlign val="baseline"/>
        <sz val="10.5"/>
        <color auto="1"/>
        <name val="Arial"/>
        <scheme val="none"/>
      </font>
      <alignment horizontal="center" vertical="center" textRotation="0" wrapText="1" indent="0" justifyLastLine="0" shrinkToFit="0" readingOrder="0"/>
      <border diagonalUp="0" diagonalDown="0">
        <left style="thin">
          <color rgb="FFB7C6E3"/>
        </left>
        <right style="thin">
          <color rgb="FFB7C6E3"/>
        </right>
        <top style="thin">
          <color rgb="FFB7C6E3"/>
        </top>
        <bottom style="thin">
          <color rgb="FFB7C6E3"/>
        </bottom>
        <vertical/>
        <horizontal/>
      </border>
    </dxf>
    <dxf>
      <font>
        <b val="0"/>
        <i val="0"/>
        <strike val="0"/>
        <condense val="0"/>
        <extend val="0"/>
        <outline val="0"/>
        <shadow val="0"/>
        <u val="none"/>
        <vertAlign val="baseline"/>
        <sz val="10.5"/>
        <color auto="1"/>
        <name val="Arial"/>
        <scheme val="none"/>
      </font>
      <alignment horizontal="center" vertical="center" textRotation="0" wrapText="1" indent="0" justifyLastLine="0" shrinkToFit="0" readingOrder="0"/>
      <border diagonalUp="0" diagonalDown="0">
        <left/>
        <right style="thin">
          <color rgb="FFB7C6E3"/>
        </right>
        <top style="thin">
          <color rgb="FFB7C6E3"/>
        </top>
        <bottom style="thin">
          <color rgb="FFB7C6E3"/>
        </bottom>
        <vertical/>
        <horizontal/>
      </border>
    </dxf>
    <dxf>
      <border outline="0">
        <top style="thin">
          <color rgb="FFB7C6E3"/>
        </top>
      </border>
    </dxf>
    <dxf>
      <border outline="0">
        <left style="thin">
          <color rgb="FFB7C6E3"/>
        </left>
        <right style="thin">
          <color rgb="FFB7C6E3"/>
        </right>
        <top style="thin">
          <color rgb="FFB7C6E3"/>
        </top>
        <bottom style="thin">
          <color rgb="FFB7C6E3"/>
        </bottom>
      </border>
    </dxf>
    <dxf>
      <border outline="0">
        <bottom style="thin">
          <color rgb="FFB7C6E3"/>
        </bottom>
      </border>
    </dxf>
    <dxf>
      <font>
        <b/>
        <i val="0"/>
        <strike val="0"/>
        <condense val="0"/>
        <extend val="0"/>
        <outline val="0"/>
        <shadow val="0"/>
        <u val="none"/>
        <vertAlign val="baseline"/>
        <sz val="11"/>
        <color rgb="FFFFFFFF"/>
        <name val="Arial"/>
        <scheme val="none"/>
      </font>
      <fill>
        <patternFill patternType="solid">
          <fgColor indexed="64"/>
          <bgColor rgb="FF2E5395"/>
        </patternFill>
      </fill>
      <alignment horizontal="center" vertical="center" textRotation="0" wrapText="1" indent="0" justifyLastLine="0" shrinkToFit="0" readingOrder="0"/>
      <border diagonalUp="0" diagonalDown="0" outline="0">
        <left style="thin">
          <color rgb="FFB7C6E3"/>
        </left>
        <right style="thin">
          <color rgb="FFB7C6E3"/>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IN" sz="1800" b="1" i="0" u="none" strike="noStrike" cap="all" baseline="0"/>
              <a:t>IPhone Price Hike: Before vs After</a:t>
            </a:r>
            <a:endParaRPr lang="en-IN"/>
          </a:p>
        </c:rich>
      </c:tx>
      <c:layout>
        <c:manualLayout>
          <c:xMode val="edge"/>
          <c:yMode val="edge"/>
          <c:x val="0.1327119445758326"/>
          <c:y val="3.457304487424509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IN"/>
        </a:p>
      </c:txPr>
    </c:title>
    <c:autoTitleDeleted val="0"/>
    <c:plotArea>
      <c:layout>
        <c:manualLayout>
          <c:layoutTarget val="inner"/>
          <c:xMode val="edge"/>
          <c:yMode val="edge"/>
          <c:x val="0.14517813601702154"/>
          <c:y val="0.18773408950890785"/>
          <c:w val="0.78016703163583845"/>
          <c:h val="0.73085403110784797"/>
        </c:manualLayout>
      </c:layout>
      <c:barChart>
        <c:barDir val="col"/>
        <c:grouping val="clustered"/>
        <c:varyColors val="0"/>
        <c:ser>
          <c:idx val="0"/>
          <c:order val="0"/>
          <c:tx>
            <c:v>BEFORE</c:v>
          </c:tx>
          <c:spPr>
            <a:gradFill flip="none" rotWithShape="1">
              <a:gsLst>
                <a:gs pos="0">
                  <a:schemeClr val="accent1">
                    <a:shade val="76000"/>
                  </a:schemeClr>
                </a:gs>
                <a:gs pos="75000">
                  <a:schemeClr val="accent1">
                    <a:shade val="76000"/>
                    <a:lumMod val="60000"/>
                    <a:lumOff val="40000"/>
                  </a:schemeClr>
                </a:gs>
                <a:gs pos="51000">
                  <a:schemeClr val="accent1">
                    <a:shade val="76000"/>
                    <a:alpha val="75000"/>
                  </a:schemeClr>
                </a:gs>
                <a:gs pos="100000">
                  <a:schemeClr val="accent1">
                    <a:shade val="76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Hike Data'!$A$4:$A$10</c:f>
              <c:strCache>
                <c:ptCount val="7"/>
                <c:pt idx="0">
                  <c:v>iPhone 16</c:v>
                </c:pt>
                <c:pt idx="1">
                  <c:v>iPhone 17</c:v>
                </c:pt>
                <c:pt idx="2">
                  <c:v>iPhone 17</c:v>
                </c:pt>
                <c:pt idx="3">
                  <c:v>iPhone 17e</c:v>
                </c:pt>
                <c:pt idx="4">
                  <c:v>iPhone 17e</c:v>
                </c:pt>
                <c:pt idx="5">
                  <c:v>iPhone Air</c:v>
                </c:pt>
                <c:pt idx="6">
                  <c:v>iPhone Air</c:v>
                </c:pt>
              </c:strCache>
            </c:strRef>
          </c:cat>
          <c:val>
            <c:numRef>
              <c:f>'Price Hike Data'!$C$4:$C$10</c:f>
              <c:numCache>
                <c:formatCode>"Rs. "#,##0</c:formatCode>
                <c:ptCount val="7"/>
                <c:pt idx="0">
                  <c:v>69900</c:v>
                </c:pt>
                <c:pt idx="1">
                  <c:v>82900</c:v>
                </c:pt>
                <c:pt idx="2">
                  <c:v>102900</c:v>
                </c:pt>
                <c:pt idx="3">
                  <c:v>64900</c:v>
                </c:pt>
                <c:pt idx="4">
                  <c:v>84900</c:v>
                </c:pt>
                <c:pt idx="5">
                  <c:v>119900</c:v>
                </c:pt>
                <c:pt idx="6">
                  <c:v>139900</c:v>
                </c:pt>
              </c:numCache>
            </c:numRef>
          </c:val>
          <c:extLst>
            <c:ext xmlns:c16="http://schemas.microsoft.com/office/drawing/2014/chart" uri="{C3380CC4-5D6E-409C-BE32-E72D297353CC}">
              <c16:uniqueId val="{00000000-C7CF-426D-ACF6-16A63F117E73}"/>
            </c:ext>
          </c:extLst>
        </c:ser>
        <c:ser>
          <c:idx val="1"/>
          <c:order val="1"/>
          <c:tx>
            <c:v>AFTER</c:v>
          </c:tx>
          <c:spPr>
            <a:gradFill flip="none" rotWithShape="1">
              <a:gsLst>
                <a:gs pos="0">
                  <a:schemeClr val="accent1">
                    <a:tint val="77000"/>
                  </a:schemeClr>
                </a:gs>
                <a:gs pos="75000">
                  <a:schemeClr val="accent1">
                    <a:tint val="77000"/>
                    <a:lumMod val="60000"/>
                    <a:lumOff val="40000"/>
                  </a:schemeClr>
                </a:gs>
                <a:gs pos="51000">
                  <a:schemeClr val="accent1">
                    <a:tint val="77000"/>
                    <a:alpha val="75000"/>
                  </a:schemeClr>
                </a:gs>
                <a:gs pos="100000">
                  <a:schemeClr val="accent1">
                    <a:tint val="77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Hike Data'!$A$4:$A$10</c:f>
              <c:strCache>
                <c:ptCount val="7"/>
                <c:pt idx="0">
                  <c:v>iPhone 16</c:v>
                </c:pt>
                <c:pt idx="1">
                  <c:v>iPhone 17</c:v>
                </c:pt>
                <c:pt idx="2">
                  <c:v>iPhone 17</c:v>
                </c:pt>
                <c:pt idx="3">
                  <c:v>iPhone 17e</c:v>
                </c:pt>
                <c:pt idx="4">
                  <c:v>iPhone 17e</c:v>
                </c:pt>
                <c:pt idx="5">
                  <c:v>iPhone Air</c:v>
                </c:pt>
                <c:pt idx="6">
                  <c:v>iPhone Air</c:v>
                </c:pt>
              </c:strCache>
            </c:strRef>
          </c:cat>
          <c:val>
            <c:numRef>
              <c:f>'Price Hike Data'!$D$4:$D$10</c:f>
              <c:numCache>
                <c:formatCode>"Rs. "#,##0</c:formatCode>
                <c:ptCount val="7"/>
                <c:pt idx="0">
                  <c:v>89900</c:v>
                </c:pt>
                <c:pt idx="1">
                  <c:v>99900</c:v>
                </c:pt>
                <c:pt idx="2">
                  <c:v>124900</c:v>
                </c:pt>
                <c:pt idx="3">
                  <c:v>79900</c:v>
                </c:pt>
                <c:pt idx="4">
                  <c:v>104900</c:v>
                </c:pt>
                <c:pt idx="5">
                  <c:v>149900</c:v>
                </c:pt>
                <c:pt idx="6">
                  <c:v>174900</c:v>
                </c:pt>
              </c:numCache>
            </c:numRef>
          </c:val>
          <c:extLst>
            <c:ext xmlns:c16="http://schemas.microsoft.com/office/drawing/2014/chart" uri="{C3380CC4-5D6E-409C-BE32-E72D297353CC}">
              <c16:uniqueId val="{00000001-C7CF-426D-ACF6-16A63F117E73}"/>
            </c:ext>
          </c:extLst>
        </c:ser>
        <c:dLbls>
          <c:dLblPos val="inEnd"/>
          <c:showLegendKey val="0"/>
          <c:showVal val="1"/>
          <c:showCatName val="0"/>
          <c:showSerName val="0"/>
          <c:showPercent val="0"/>
          <c:showBubbleSize val="0"/>
        </c:dLbls>
        <c:gapWidth val="355"/>
        <c:overlap val="-70"/>
        <c:axId val="791645551"/>
        <c:axId val="788861327"/>
      </c:barChart>
      <c:catAx>
        <c:axId val="79164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8861327"/>
        <c:crosses val="autoZero"/>
        <c:auto val="1"/>
        <c:lblAlgn val="ctr"/>
        <c:lblOffset val="100"/>
        <c:noMultiLvlLbl val="0"/>
      </c:catAx>
      <c:valAx>
        <c:axId val="78886132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Rs.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16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IN">
                <a:solidFill>
                  <a:schemeClr val="dk1"/>
                </a:solidFill>
                <a:latin typeface="+mn-lt"/>
                <a:ea typeface="+mn-ea"/>
                <a:cs typeface="+mn-cs"/>
              </a:rPr>
              <a:t>% Price Increase by Model</a:t>
            </a:r>
            <a:endParaRPr lang="en-IN"/>
          </a:p>
        </c:rich>
      </c:tx>
      <c:overlay val="0"/>
      <c:spPr>
        <a:solidFill>
          <a:schemeClr val="lt1"/>
        </a:solidFill>
        <a:ln w="25400" cap="flat" cmpd="sng" algn="ctr">
          <a:solidFill>
            <a:schemeClr val="bg1"/>
          </a:solidFill>
          <a:prstDash val="solid"/>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IN"/>
        </a:p>
      </c:txPr>
    </c:title>
    <c:autoTitleDeleted val="0"/>
    <c:plotArea>
      <c:layout>
        <c:manualLayout>
          <c:layoutTarget val="inner"/>
          <c:xMode val="edge"/>
          <c:yMode val="edge"/>
          <c:x val="7.0567147856517937E-2"/>
          <c:y val="0.19486111111111112"/>
          <c:w val="0.88498840769903764"/>
          <c:h val="0.72088764946048411"/>
        </c:manualLayout>
      </c:layout>
      <c:barChart>
        <c:barDir val="col"/>
        <c:grouping val="clustered"/>
        <c:varyColors val="0"/>
        <c:ser>
          <c:idx val="0"/>
          <c:order val="0"/>
          <c:tx>
            <c:strRef>
              <c:f>'Price Hike Data'!$F$3</c:f>
              <c:strCache>
                <c:ptCount val="1"/>
                <c:pt idx="0">
                  <c:v>% Increase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'Price Hike Data'!$A$4:$A$10</c:f>
              <c:strCache>
                <c:ptCount val="7"/>
                <c:pt idx="0">
                  <c:v>iPhone 16</c:v>
                </c:pt>
                <c:pt idx="1">
                  <c:v>iPhone 17</c:v>
                </c:pt>
                <c:pt idx="2">
                  <c:v>iPhone 17</c:v>
                </c:pt>
                <c:pt idx="3">
                  <c:v>iPhone 17e</c:v>
                </c:pt>
                <c:pt idx="4">
                  <c:v>iPhone 17e</c:v>
                </c:pt>
                <c:pt idx="5">
                  <c:v>iPhone Air</c:v>
                </c:pt>
                <c:pt idx="6">
                  <c:v>iPhone Air</c:v>
                </c:pt>
              </c:strCache>
            </c:strRef>
          </c:cat>
          <c:val>
            <c:numRef>
              <c:f>'Price Hike Data'!$F$4:$F$10</c:f>
              <c:numCache>
                <c:formatCode>0%</c:formatCode>
                <c:ptCount val="7"/>
                <c:pt idx="0">
                  <c:v>0.28612303290414881</c:v>
                </c:pt>
                <c:pt idx="1">
                  <c:v>0.20506634499396864</c:v>
                </c:pt>
                <c:pt idx="2">
                  <c:v>0.21379980563654033</c:v>
                </c:pt>
                <c:pt idx="3">
                  <c:v>0.23112480739599384</c:v>
                </c:pt>
                <c:pt idx="4">
                  <c:v>0.23557126030624265</c:v>
                </c:pt>
                <c:pt idx="5">
                  <c:v>0.25020850708924103</c:v>
                </c:pt>
                <c:pt idx="6">
                  <c:v>0.25017869907076484</c:v>
                </c:pt>
              </c:numCache>
            </c:numRef>
          </c:val>
          <c:extLst>
            <c:ext xmlns:c16="http://schemas.microsoft.com/office/drawing/2014/chart" uri="{C3380CC4-5D6E-409C-BE32-E72D297353CC}">
              <c16:uniqueId val="{00000000-16D0-40FE-81D0-A6B76FCCD418}"/>
            </c:ext>
          </c:extLst>
        </c:ser>
        <c:dLbls>
          <c:dLblPos val="inEnd"/>
          <c:showLegendKey val="0"/>
          <c:showVal val="1"/>
          <c:showCatName val="0"/>
          <c:showSerName val="0"/>
          <c:showPercent val="0"/>
          <c:showBubbleSize val="0"/>
        </c:dLbls>
        <c:gapWidth val="355"/>
        <c:overlap val="-70"/>
        <c:axId val="692967743"/>
        <c:axId val="788807087"/>
      </c:barChart>
      <c:catAx>
        <c:axId val="69296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07087"/>
        <c:crosses val="autoZero"/>
        <c:auto val="1"/>
        <c:lblAlgn val="ctr"/>
        <c:lblOffset val="100"/>
        <c:noMultiLvlLbl val="0"/>
      </c:catAx>
      <c:valAx>
        <c:axId val="78880708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6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144780</xdr:rowOff>
    </xdr:from>
    <xdr:to>
      <xdr:col>4</xdr:col>
      <xdr:colOff>419100</xdr:colOff>
      <xdr:row>36</xdr:row>
      <xdr:rowOff>45720</xdr:rowOff>
    </xdr:to>
    <xdr:graphicFrame macro="">
      <xdr:nvGraphicFramePr>
        <xdr:cNvPr id="9" name="Chart 8">
          <a:extLst>
            <a:ext uri="{FF2B5EF4-FFF2-40B4-BE49-F238E27FC236}">
              <a16:creationId xmlns:a16="http://schemas.microsoft.com/office/drawing/2014/main" id="{6EB0F3AE-8EED-5580-6A4A-9E64F87F4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632460</xdr:colOff>
      <xdr:row>14</xdr:row>
      <xdr:rowOff>133350</xdr:rowOff>
    </xdr:from>
    <xdr:to>
      <xdr:col>9</xdr:col>
      <xdr:colOff>411480</xdr:colOff>
      <xdr:row>36</xdr:row>
      <xdr:rowOff>0</xdr:rowOff>
    </xdr:to>
    <xdr:graphicFrame macro="">
      <xdr:nvGraphicFramePr>
        <xdr:cNvPr id="10" name="Chart 9">
          <a:extLst>
            <a:ext uri="{FF2B5EF4-FFF2-40B4-BE49-F238E27FC236}">
              <a16:creationId xmlns:a16="http://schemas.microsoft.com/office/drawing/2014/main" id="{218A6CB1-28DD-3F12-716D-D3C3AC774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60960</xdr:colOff>
      <xdr:row>37</xdr:row>
      <xdr:rowOff>53340</xdr:rowOff>
    </xdr:from>
    <xdr:ext cx="10668000" cy="1813560"/>
    <xdr:sp macro="" textlink="">
      <xdr:nvSpPr>
        <xdr:cNvPr id="11" name="TextBox 10">
          <a:extLst>
            <a:ext uri="{FF2B5EF4-FFF2-40B4-BE49-F238E27FC236}">
              <a16:creationId xmlns:a16="http://schemas.microsoft.com/office/drawing/2014/main" id="{B1F848EC-70A2-E016-6FE3-ED05186A2B9D}"/>
            </a:ext>
          </a:extLst>
        </xdr:cNvPr>
        <xdr:cNvSpPr txBox="1"/>
      </xdr:nvSpPr>
      <xdr:spPr>
        <a:xfrm>
          <a:off x="60960" y="7162800"/>
          <a:ext cx="10668000" cy="181356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IN" sz="1600" b="1">
              <a:solidFill>
                <a:srgbClr val="002060"/>
              </a:solidFill>
            </a:rPr>
            <a:t>Key Insight:</a:t>
          </a:r>
          <a:endParaRPr lang="en-IN" sz="1600">
            <a:solidFill>
              <a:srgbClr val="002060"/>
            </a:solidFill>
          </a:endParaRPr>
        </a:p>
        <a:p>
          <a:pPr rtl="0"/>
          <a:endParaRPr lang="en-IN" sz="1200"/>
        </a:p>
        <a:p>
          <a:pPr rtl="0"/>
          <a:r>
            <a:rPr lang="en-IN" sz="1200">
              <a:solidFill>
                <a:srgbClr val="0070C0"/>
              </a:solidFill>
            </a:rPr>
            <a:t>Apple broke its usual pricing pattern in September 2026. Instead of discounting older iPhone models after launching the iPhone 18 Pro series, it raised prices across the existing lineup — iPhone 16, iPhone 17, iPhone 17e, and iPhone Air all saw price hikes ranging from 21% to 29%.</a:t>
          </a:r>
        </a:p>
        <a:p>
          <a:pPr rtl="0"/>
          <a:r>
            <a:rPr lang="en-IN" sz="1200">
              <a:solidFill>
                <a:srgbClr val="0070C0"/>
              </a:solidFill>
            </a:rPr>
            <a:t>The iPhone 16, despite being a two-year-old model, recorded the highest increase at 29% — which is unusual, since older models typically get cheaper, not more expensive, once a new generation launches.</a:t>
          </a:r>
        </a:p>
        <a:p>
          <a:pPr rtl="0"/>
          <a:r>
            <a:rPr lang="en-IN" sz="1200">
              <a:solidFill>
                <a:srgbClr val="0070C0"/>
              </a:solidFill>
            </a:rPr>
            <a:t>This shift suggests Apple is passing rising component costs (driven by a global memory-chip shortage affecting the industry in 2026) directly onto consumers across its entire product lineup, rather than absorbing the cost or limiting the impact to just the newest models. It also indicates a strategic shift in Apple's pricing ladder — making the overall cost of entry into the iPhone ecosystem higher, even for budget-conscious buyers looking at older models.</a:t>
          </a:r>
        </a:p>
        <a:p>
          <a:endParaRPr lang="en-IN" sz="12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99060</xdr:colOff>
      <xdr:row>14</xdr:row>
      <xdr:rowOff>30480</xdr:rowOff>
    </xdr:from>
    <xdr:to>
      <xdr:col>5</xdr:col>
      <xdr:colOff>464820</xdr:colOff>
      <xdr:row>24</xdr:row>
      <xdr:rowOff>129540</xdr:rowOff>
    </xdr:to>
    <xdr:sp macro="" textlink="">
      <xdr:nvSpPr>
        <xdr:cNvPr id="4" name="TextBox 3">
          <a:extLst>
            <a:ext uri="{FF2B5EF4-FFF2-40B4-BE49-F238E27FC236}">
              <a16:creationId xmlns:a16="http://schemas.microsoft.com/office/drawing/2014/main" id="{CA8B1874-A29C-8E77-9415-DC4F0B490717}"/>
            </a:ext>
          </a:extLst>
        </xdr:cNvPr>
        <xdr:cNvSpPr txBox="1"/>
      </xdr:nvSpPr>
      <xdr:spPr>
        <a:xfrm>
          <a:off x="99060" y="2735580"/>
          <a:ext cx="5425440" cy="192786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2060"/>
              </a:solidFill>
            </a:rPr>
            <a:t>Key</a:t>
          </a:r>
          <a:r>
            <a:rPr lang="en-IN" sz="2000" b="1" baseline="0">
              <a:solidFill>
                <a:srgbClr val="002060"/>
              </a:solidFill>
            </a:rPr>
            <a:t> Insights:</a:t>
          </a:r>
        </a:p>
        <a:p>
          <a:endParaRPr lang="en-IN" sz="1100" baseline="0"/>
        </a:p>
        <a:p>
          <a:pPr rtl="0"/>
          <a:r>
            <a:rPr lang="en-IN">
              <a:solidFill>
                <a:srgbClr val="0070C0"/>
              </a:solidFill>
            </a:rPr>
            <a:t>Alongside the price hikes on older models, Apple also introduced its most expensive lineup yet with the iPhone 18 series. The iPhone 18 Pro starts at Rs. 1,64,900, while the iPhone 18 Pro Max goes up to Rs. 3,29,900 for the 2TB variant. Apple also launched its first-ever foldable device, the iPhone Duo, priced between Rs. 2,99,900 and Rs. 4,49,900.</a:t>
          </a:r>
        </a:p>
        <a:p>
          <a:pPr rtl="0"/>
          <a:r>
            <a:rPr lang="en-IN">
              <a:solidFill>
                <a:srgbClr val="0070C0"/>
              </a:solidFill>
            </a:rPr>
            <a:t>Notably, the iPhone 17 Pro and iPhone 17 Pro Max were officially discontinued at this event, pushing "Pro" tier customers directly toward the pricier iPhone 18 Pro range.</a:t>
          </a:r>
        </a:p>
        <a:p>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75E06B-CE18-4DB2-9DC4-74FD45865A17}" name="Table1" displayName="Table1" ref="A3:F10" totalsRowShown="0" headerRowDxfId="8" headerRowBorderDxfId="7" tableBorderDxfId="6" totalsRowBorderDxfId="5">
  <autoFilter ref="A3:F10" xr:uid="{3375E06B-CE18-4DB2-9DC4-74FD45865A17}"/>
  <tableColumns count="6">
    <tableColumn id="1" xr3:uid="{5DCD9B53-D024-47FD-97F8-6314E3955E90}" name="Model" dataDxfId="4"/>
    <tableColumn id="2" xr3:uid="{68506595-27AA-45A2-892C-045232D1DE37}" name="Storage Variant" dataDxfId="3"/>
    <tableColumn id="3" xr3:uid="{B1D90646-A1C7-43C9-9591-EDF304DAE477}" name="Price Before (Sep 9, 2026)" dataDxfId="2"/>
    <tableColumn id="4" xr3:uid="{8FE6033B-0BF3-4172-9D57-A50E06696E2E}" name="Price After (Sep 9, 2026)" dataDxfId="1"/>
    <tableColumn id="5" xr3:uid="{B960D5ED-E226-4561-812C-CCD9B18A6157}" name="₹ Increase" dataDxfId="0">
      <calculatedColumnFormula>D4-C4</calculatedColumnFormula>
    </tableColumn>
    <tableColumn id="6" xr3:uid="{85A170DF-1D3E-4453-A7A3-23DF38BAA357}" name="% Increase" dataCellStyle="Percent">
      <calculatedColumnFormula>E4/C4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showGridLines="0" tabSelected="1" workbookViewId="0">
      <selection sqref="A1:D1"/>
    </sheetView>
  </sheetViews>
  <sheetFormatPr defaultRowHeight="14.4" x14ac:dyDescent="0.3"/>
  <cols>
    <col min="1" max="1" width="16" customWidth="1"/>
    <col min="2" max="2" width="18" customWidth="1"/>
    <col min="3" max="3" width="27.88671875" customWidth="1"/>
    <col min="4" max="4" width="26.33203125" customWidth="1"/>
    <col min="5" max="5" width="26.44140625" customWidth="1"/>
    <col min="6" max="6" width="26.109375" customWidth="1"/>
  </cols>
  <sheetData>
    <row r="1" spans="1:6" ht="25.95" customHeight="1" x14ac:dyDescent="0.3">
      <c r="A1" s="23" t="s">
        <v>24</v>
      </c>
      <c r="B1" s="24"/>
      <c r="C1" s="24"/>
      <c r="D1" s="24"/>
    </row>
    <row r="3" spans="1:6" ht="30" customHeight="1" x14ac:dyDescent="0.3">
      <c r="A3" s="10" t="s">
        <v>0</v>
      </c>
      <c r="B3" s="11" t="s">
        <v>1</v>
      </c>
      <c r="C3" s="11" t="s">
        <v>2</v>
      </c>
      <c r="D3" s="12" t="s">
        <v>3</v>
      </c>
      <c r="E3" s="17" t="s">
        <v>19</v>
      </c>
      <c r="F3" s="17" t="s">
        <v>20</v>
      </c>
    </row>
    <row r="4" spans="1:6" x14ac:dyDescent="0.3">
      <c r="A4" s="6" t="s">
        <v>4</v>
      </c>
      <c r="B4" s="2" t="s">
        <v>5</v>
      </c>
      <c r="C4" s="3">
        <v>69900</v>
      </c>
      <c r="D4" s="8">
        <v>89900</v>
      </c>
      <c r="E4" s="18">
        <f t="shared" ref="E4:E10" si="0">D4-C4</f>
        <v>20000</v>
      </c>
      <c r="F4" s="19">
        <f t="shared" ref="F4:F10" si="1">E4/C4</f>
        <v>0.28612303290414881</v>
      </c>
    </row>
    <row r="5" spans="1:6" x14ac:dyDescent="0.3">
      <c r="A5" s="7" t="s">
        <v>6</v>
      </c>
      <c r="B5" s="4" t="s">
        <v>7</v>
      </c>
      <c r="C5" s="5">
        <v>82900</v>
      </c>
      <c r="D5" s="9">
        <v>99900</v>
      </c>
      <c r="E5" s="18">
        <f t="shared" si="0"/>
        <v>17000</v>
      </c>
      <c r="F5" s="19">
        <f t="shared" si="1"/>
        <v>0.20506634499396864</v>
      </c>
    </row>
    <row r="6" spans="1:6" x14ac:dyDescent="0.3">
      <c r="A6" s="6" t="s">
        <v>6</v>
      </c>
      <c r="B6" s="2" t="s">
        <v>8</v>
      </c>
      <c r="C6" s="3">
        <v>102900</v>
      </c>
      <c r="D6" s="8">
        <v>124900</v>
      </c>
      <c r="E6" s="18">
        <f t="shared" si="0"/>
        <v>22000</v>
      </c>
      <c r="F6" s="19">
        <f t="shared" si="1"/>
        <v>0.21379980563654033</v>
      </c>
    </row>
    <row r="7" spans="1:6" x14ac:dyDescent="0.3">
      <c r="A7" s="7" t="s">
        <v>9</v>
      </c>
      <c r="B7" s="4" t="s">
        <v>7</v>
      </c>
      <c r="C7" s="5">
        <v>64900</v>
      </c>
      <c r="D7" s="9">
        <v>79900</v>
      </c>
      <c r="E7" s="18">
        <f t="shared" si="0"/>
        <v>15000</v>
      </c>
      <c r="F7" s="19">
        <f t="shared" si="1"/>
        <v>0.23112480739599384</v>
      </c>
    </row>
    <row r="8" spans="1:6" x14ac:dyDescent="0.3">
      <c r="A8" s="6" t="s">
        <v>9</v>
      </c>
      <c r="B8" s="2" t="s">
        <v>8</v>
      </c>
      <c r="C8" s="3">
        <v>84900</v>
      </c>
      <c r="D8" s="8">
        <v>104900</v>
      </c>
      <c r="E8" s="18">
        <f t="shared" si="0"/>
        <v>20000</v>
      </c>
      <c r="F8" s="19">
        <f t="shared" si="1"/>
        <v>0.23557126030624265</v>
      </c>
    </row>
    <row r="9" spans="1:6" x14ac:dyDescent="0.3">
      <c r="A9" s="7" t="s">
        <v>10</v>
      </c>
      <c r="B9" s="4" t="s">
        <v>7</v>
      </c>
      <c r="C9" s="5">
        <v>119900</v>
      </c>
      <c r="D9" s="9">
        <v>149900</v>
      </c>
      <c r="E9" s="18">
        <f t="shared" si="0"/>
        <v>30000</v>
      </c>
      <c r="F9" s="19">
        <f t="shared" si="1"/>
        <v>0.25020850708924103</v>
      </c>
    </row>
    <row r="10" spans="1:6" x14ac:dyDescent="0.3">
      <c r="A10" s="13" t="s">
        <v>10</v>
      </c>
      <c r="B10" s="14" t="s">
        <v>8</v>
      </c>
      <c r="C10" s="15">
        <v>139900</v>
      </c>
      <c r="D10" s="16">
        <v>174900</v>
      </c>
      <c r="E10" s="18">
        <f t="shared" si="0"/>
        <v>35000</v>
      </c>
      <c r="F10" s="19">
        <f t="shared" si="1"/>
        <v>0.25017869907076484</v>
      </c>
    </row>
    <row r="12" spans="1:6" x14ac:dyDescent="0.3">
      <c r="A12" s="22" t="s">
        <v>22</v>
      </c>
      <c r="B12" s="21">
        <f>AVERAGE(F4:F10)</f>
        <v>0.23886749391384288</v>
      </c>
      <c r="C12" s="20"/>
    </row>
    <row r="13" spans="1:6" x14ac:dyDescent="0.3">
      <c r="A13" s="22" t="s">
        <v>23</v>
      </c>
      <c r="B13" s="21">
        <f>MAX(F4:F10)</f>
        <v>0.28612303290414881</v>
      </c>
      <c r="C13" s="20"/>
    </row>
    <row r="14" spans="1:6" x14ac:dyDescent="0.3">
      <c r="A14" s="22" t="s">
        <v>21</v>
      </c>
      <c r="B14" s="20" t="str">
        <f>A4&amp;" ("&amp;B4&amp;")"</f>
        <v>iPhone 16 (128GB (base))</v>
      </c>
      <c r="C14" s="20"/>
    </row>
  </sheetData>
  <mergeCells count="1">
    <mergeCell ref="A1:D1"/>
  </mergeCells>
  <pageMargins left="0.75" right="0.75" top="1" bottom="1" header="0.5" footer="0.5"/>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showGridLines="0" workbookViewId="0">
      <selection activeCell="D14" sqref="D14"/>
    </sheetView>
  </sheetViews>
  <sheetFormatPr defaultRowHeight="14.4" x14ac:dyDescent="0.3"/>
  <cols>
    <col min="1" max="1" width="22.77734375" customWidth="1"/>
    <col min="2" max="2" width="18" customWidth="1"/>
    <col min="3" max="3" width="16" customWidth="1"/>
  </cols>
  <sheetData>
    <row r="1" spans="1:3" ht="25.95" customHeight="1" x14ac:dyDescent="0.3">
      <c r="A1" s="23" t="s">
        <v>11</v>
      </c>
      <c r="B1" s="24"/>
      <c r="C1" s="24"/>
    </row>
    <row r="2" spans="1:3" ht="13.2" customHeight="1" x14ac:dyDescent="0.3"/>
    <row r="3" spans="1:3" x14ac:dyDescent="0.3">
      <c r="A3" s="1" t="s">
        <v>0</v>
      </c>
      <c r="B3" s="1" t="s">
        <v>1</v>
      </c>
      <c r="C3" s="1" t="s">
        <v>12</v>
      </c>
    </row>
    <row r="4" spans="1:3" x14ac:dyDescent="0.3">
      <c r="A4" s="2" t="s">
        <v>13</v>
      </c>
      <c r="B4" s="2" t="s">
        <v>7</v>
      </c>
      <c r="C4" s="3">
        <v>164900</v>
      </c>
    </row>
    <row r="5" spans="1:3" x14ac:dyDescent="0.3">
      <c r="A5" s="4" t="s">
        <v>13</v>
      </c>
      <c r="B5" s="4" t="s">
        <v>8</v>
      </c>
      <c r="C5" s="5">
        <v>189900</v>
      </c>
    </row>
    <row r="6" spans="1:3" x14ac:dyDescent="0.3">
      <c r="A6" s="2" t="s">
        <v>14</v>
      </c>
      <c r="B6" s="2" t="s">
        <v>7</v>
      </c>
      <c r="C6" s="3">
        <v>179900</v>
      </c>
    </row>
    <row r="7" spans="1:3" x14ac:dyDescent="0.3">
      <c r="A7" s="4" t="s">
        <v>14</v>
      </c>
      <c r="B7" s="4" t="s">
        <v>8</v>
      </c>
      <c r="C7" s="5">
        <v>204900</v>
      </c>
    </row>
    <row r="8" spans="1:3" x14ac:dyDescent="0.3">
      <c r="A8" s="2" t="s">
        <v>14</v>
      </c>
      <c r="B8" s="2" t="s">
        <v>15</v>
      </c>
      <c r="C8" s="3">
        <v>254900</v>
      </c>
    </row>
    <row r="9" spans="1:3" x14ac:dyDescent="0.3">
      <c r="A9" s="4" t="s">
        <v>14</v>
      </c>
      <c r="B9" s="4" t="s">
        <v>16</v>
      </c>
      <c r="C9" s="5">
        <v>329900</v>
      </c>
    </row>
    <row r="10" spans="1:3" x14ac:dyDescent="0.3">
      <c r="A10" s="2" t="s">
        <v>17</v>
      </c>
      <c r="B10" s="2" t="s">
        <v>7</v>
      </c>
      <c r="C10" s="3">
        <v>299900</v>
      </c>
    </row>
    <row r="13" spans="1:3" x14ac:dyDescent="0.3">
      <c r="A13" s="25" t="s">
        <v>18</v>
      </c>
      <c r="B13" s="24"/>
      <c r="C13" s="24"/>
    </row>
  </sheetData>
  <mergeCells count="2">
    <mergeCell ref="A1:C1"/>
    <mergeCell ref="A13:C1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 Hike Data</vt:lpstr>
      <vt:lpstr>iPhone 18 Launch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RIYA NASHINE</cp:lastModifiedBy>
  <dcterms:created xsi:type="dcterms:W3CDTF">2026-09-23T07:16:14Z</dcterms:created>
  <dcterms:modified xsi:type="dcterms:W3CDTF">2026-10-09T17:26:43Z</dcterms:modified>
</cp:coreProperties>
</file>